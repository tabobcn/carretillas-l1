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ante" sheetId="1" state="visible" r:id="rId1"/>
  </sheets>
  <definedNames>
    <definedName name="_xlnm.Print_Area" localSheetId="0">'Cuadrante'!$A$1:$H$18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 mmm"/>
  </numFmts>
  <fonts count="9">
    <font>
      <name val="Calibri"/>
      <family val="2"/>
      <color theme="1"/>
      <sz val="11"/>
      <scheme val="minor"/>
    </font>
    <font>
      <name val="Arial"/>
      <b val="1"/>
      <color rgb="001C2129"/>
      <sz val="18"/>
    </font>
    <font>
      <name val="Arial"/>
      <b val="1"/>
      <color rgb="005A6270"/>
      <sz val="12"/>
    </font>
    <font>
      <name val="Arial"/>
      <b val="1"/>
      <color rgb="00FFFFFF"/>
      <sz val="11"/>
    </font>
    <font>
      <name val="Arial"/>
      <b val="1"/>
      <color rgb="001C2129"/>
      <sz val="10"/>
    </font>
    <font>
      <name val="Arial"/>
      <b val="1"/>
      <color rgb="001C2129"/>
      <sz val="11"/>
    </font>
    <font>
      <name val="Arial"/>
      <color rgb="001C2129"/>
      <sz val="11"/>
    </font>
    <font>
      <name val="Arial"/>
      <color rgb="003A414C"/>
      <sz val="9"/>
    </font>
    <font>
      <name val="Arial"/>
      <i val="1"/>
      <color rgb="005A6270"/>
      <sz val="8"/>
    </font>
  </fonts>
  <fills count="8">
    <fill>
      <patternFill/>
    </fill>
    <fill>
      <patternFill patternType="gray125"/>
    </fill>
    <fill>
      <patternFill patternType="solid">
        <fgColor rgb="00FFF4B8"/>
      </patternFill>
    </fill>
    <fill>
      <patternFill patternType="solid">
        <fgColor rgb="001C2129"/>
      </patternFill>
    </fill>
    <fill>
      <patternFill patternType="solid">
        <fgColor rgb="00FF8C1A"/>
      </patternFill>
    </fill>
    <fill>
      <patternFill patternType="solid">
        <fgColor rgb="00FFFFFF"/>
      </patternFill>
    </fill>
    <fill>
      <patternFill patternType="solid">
        <fgColor rgb="00FFE7CF"/>
      </patternFill>
    </fill>
    <fill>
      <patternFill patternType="solid">
        <fgColor rgb="00F4F5F7"/>
      </patternFill>
    </fill>
  </fills>
  <borders count="3">
    <border>
      <left/>
      <right/>
      <top/>
      <bottom/>
      <diagonal/>
    </border>
    <border>
      <left style="medium">
        <color rgb="00FF8C1A"/>
      </left>
      <right style="medium">
        <color rgb="00FF8C1A"/>
      </right>
      <top style="medium">
        <color rgb="00FF8C1A"/>
      </top>
      <bottom style="medium">
        <color rgb="00FF8C1A"/>
      </bottom>
    </border>
    <border>
      <left style="thin">
        <color rgb="00B8BEC7"/>
      </left>
      <right style="thin">
        <color rgb="00B8BEC7"/>
      </right>
      <top style="thin">
        <color rgb="00B8BEC7"/>
      </top>
      <bottom style="thin">
        <color rgb="00B8BE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2" pivotButton="0" quotePrefix="0" xfId="0"/>
    <xf numFmtId="164" fontId="4" fillId="4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1" customWidth="1" min="7" max="7"/>
    <col width="16" customWidth="1" min="8" max="8"/>
    <col width="3" customWidth="1" min="9" max="9"/>
    <col width="20" customWidth="1" min="10" max="10"/>
  </cols>
  <sheetData>
    <row r="1" ht="36" customHeight="1">
      <c r="A1" s="1" t="inlineStr">
        <is>
          <t>CUADRANTE CARRETILLAS L1</t>
        </is>
      </c>
      <c r="E1" s="2" t="inlineStr">
        <is>
          <t>SEMANA KW</t>
        </is>
      </c>
      <c r="F1" s="3" t="n">
        <v>44</v>
      </c>
      <c r="G1" s="2" t="inlineStr">
        <is>
          <t>AÑO</t>
        </is>
      </c>
      <c r="H1" s="3" t="n">
        <v>2026</v>
      </c>
    </row>
    <row r="2" ht="10" customHeight="1"/>
    <row r="4" ht="26" customHeight="1">
      <c r="A4" s="4" t="inlineStr">
        <is>
          <t>FAENA</t>
        </is>
      </c>
      <c r="B4" s="4" t="inlineStr">
        <is>
          <t>LUNES</t>
        </is>
      </c>
      <c r="C4" s="4" t="inlineStr">
        <is>
          <t>MARTES</t>
        </is>
      </c>
      <c r="D4" s="4" t="inlineStr">
        <is>
          <t>MIÉRCOLES</t>
        </is>
      </c>
      <c r="E4" s="4" t="inlineStr">
        <is>
          <t>JUEVES</t>
        </is>
      </c>
      <c r="F4" s="4" t="inlineStr">
        <is>
          <t>VIERNES</t>
        </is>
      </c>
      <c r="G4" s="4" t="inlineStr">
        <is>
          <t>TRACTORA ASIGNADA</t>
        </is>
      </c>
      <c r="H4" s="4" t="inlineStr">
        <is>
          <t>ID SEAT</t>
        </is>
      </c>
      <c r="J4" s="5" t="inlineStr">
        <is>
          <t>CARRETILLEROS</t>
        </is>
      </c>
    </row>
    <row r="5" ht="18" customHeight="1">
      <c r="A5" s="6" t="inlineStr"/>
      <c r="B5" s="7">
        <f>DATE($H$1,1,4)-WEEKDAY(DATE($H$1,1,4),3)+($F$1-1)*7+0</f>
        <v/>
      </c>
      <c r="C5" s="7">
        <f>DATE($H$1,1,4)-WEEKDAY(DATE($H$1,1,4),3)+($F$1-1)*7+1</f>
        <v/>
      </c>
      <c r="D5" s="7">
        <f>DATE($H$1,1,4)-WEEKDAY(DATE($H$1,1,4),3)+($F$1-1)*7+2</f>
        <v/>
      </c>
      <c r="E5" s="7">
        <f>DATE($H$1,1,4)-WEEKDAY(DATE($H$1,1,4),3)+($F$1-1)*7+3</f>
        <v/>
      </c>
      <c r="F5" s="7">
        <f>DATE($H$1,1,4)-WEEKDAY(DATE($H$1,1,4),3)+($F$1-1)*7+4</f>
        <v/>
      </c>
      <c r="G5" s="6" t="n"/>
      <c r="H5" s="6" t="n"/>
      <c r="J5" s="8" t="inlineStr">
        <is>
          <t>(añade o quita nombres)</t>
        </is>
      </c>
    </row>
    <row r="6" ht="34" customHeight="1">
      <c r="A6" s="9" t="inlineStr">
        <is>
          <t>30-38 NO</t>
        </is>
      </c>
      <c r="B6" s="9" t="n"/>
      <c r="C6" s="10">
        <f>IF(B6="","",B6)</f>
        <v/>
      </c>
      <c r="D6" s="10">
        <f>IF(C6="","",C6)</f>
        <v/>
      </c>
      <c r="E6" s="10">
        <f>IF(D6="","",D6)</f>
        <v/>
      </c>
      <c r="F6" s="10">
        <f>IF(E6="","",E6)</f>
        <v/>
      </c>
      <c r="G6" s="11" t="inlineStr">
        <is>
          <t>STILL 00632</t>
        </is>
      </c>
      <c r="H6" s="12" t="inlineStr">
        <is>
          <t>T08 CP
URBAN 014</t>
        </is>
      </c>
      <c r="J6" s="13" t="inlineStr">
        <is>
          <t>ALBERTO</t>
        </is>
      </c>
    </row>
    <row r="7" ht="34" customHeight="1">
      <c r="A7" s="14" t="inlineStr">
        <is>
          <t>31 NO</t>
        </is>
      </c>
      <c r="B7" s="14" t="n"/>
      <c r="C7" s="15">
        <f>IF(B7="","",B7)</f>
        <v/>
      </c>
      <c r="D7" s="15">
        <f>IF(C7="","",C7)</f>
        <v/>
      </c>
      <c r="E7" s="15">
        <f>IF(D7="","",D7)</f>
        <v/>
      </c>
      <c r="F7" s="15">
        <f>IF(E7="","",E7)</f>
        <v/>
      </c>
      <c r="G7" s="11" t="inlineStr">
        <is>
          <t>J-50070</t>
        </is>
      </c>
      <c r="H7" s="12" t="inlineStr">
        <is>
          <t>T08 ML1
001</t>
        </is>
      </c>
      <c r="J7" s="13" t="inlineStr">
        <is>
          <t>ALCAIDE</t>
        </is>
      </c>
    </row>
    <row r="8" ht="34" customHeight="1">
      <c r="A8" s="9" t="inlineStr">
        <is>
          <t>33 NO</t>
        </is>
      </c>
      <c r="B8" s="9" t="n"/>
      <c r="C8" s="10">
        <f>IF(B8="","",B8)</f>
        <v/>
      </c>
      <c r="D8" s="10">
        <f>IF(C8="","",C8)</f>
        <v/>
      </c>
      <c r="E8" s="10">
        <f>IF(D8="","",D8)</f>
        <v/>
      </c>
      <c r="F8" s="10">
        <f>IF(E8="","",E8)</f>
        <v/>
      </c>
      <c r="G8" s="11" t="inlineStr">
        <is>
          <t>J-50079</t>
        </is>
      </c>
      <c r="H8" s="12" t="inlineStr">
        <is>
          <t>ML1
URBAN 003</t>
        </is>
      </c>
      <c r="J8" s="13" t="inlineStr">
        <is>
          <t>ANA</t>
        </is>
      </c>
    </row>
    <row r="9" ht="34" customHeight="1">
      <c r="A9" s="14" t="inlineStr">
        <is>
          <t>36 NO</t>
        </is>
      </c>
      <c r="B9" s="14" t="n"/>
      <c r="C9" s="15">
        <f>IF(B9="","",B9)</f>
        <v/>
      </c>
      <c r="D9" s="15">
        <f>IF(C9="","",C9)</f>
        <v/>
      </c>
      <c r="E9" s="15">
        <f>IF(D9="","",D9)</f>
        <v/>
      </c>
      <c r="F9" s="15">
        <f>IF(E9="","",E9)</f>
        <v/>
      </c>
      <c r="G9" s="11" t="inlineStr">
        <is>
          <t>J-50157</t>
        </is>
      </c>
      <c r="H9" s="12" t="inlineStr">
        <is>
          <t>T08
URB 004</t>
        </is>
      </c>
      <c r="J9" s="13" t="inlineStr">
        <is>
          <t>GUILLE</t>
        </is>
      </c>
    </row>
    <row r="10" ht="34" customHeight="1">
      <c r="A10" s="9" t="inlineStr">
        <is>
          <t>33-36 NX</t>
        </is>
      </c>
      <c r="B10" s="9" t="n"/>
      <c r="C10" s="10">
        <f>IF(B10="","",B10)</f>
        <v/>
      </c>
      <c r="D10" s="10">
        <f>IF(C10="","",C10)</f>
        <v/>
      </c>
      <c r="E10" s="10">
        <f>IF(D10="","",D10)</f>
        <v/>
      </c>
      <c r="F10" s="10">
        <f>IF(E10="","",E10)</f>
        <v/>
      </c>
      <c r="G10" s="11" t="inlineStr">
        <is>
          <t>Ergonómica 60940</t>
        </is>
      </c>
      <c r="H10" s="12" t="inlineStr">
        <is>
          <t>T08 CP
URBAN 011</t>
        </is>
      </c>
      <c r="J10" s="13" t="inlineStr">
        <is>
          <t>GUSTAVO</t>
        </is>
      </c>
    </row>
    <row r="11" ht="34" customHeight="1">
      <c r="A11" s="14" t="inlineStr">
        <is>
          <t>34-35 NO
excepto Cint. 705B RAA</t>
        </is>
      </c>
      <c r="B11" s="14" t="n"/>
      <c r="C11" s="15">
        <f>IF(B11="","",B11)</f>
        <v/>
      </c>
      <c r="D11" s="15">
        <f>IF(C11="","",C11)</f>
        <v/>
      </c>
      <c r="E11" s="15">
        <f>IF(D11="","",D11)</f>
        <v/>
      </c>
      <c r="F11" s="15">
        <f>IF(E11="","",E11)</f>
        <v/>
      </c>
      <c r="G11" s="11" t="inlineStr">
        <is>
          <t>J-50159</t>
        </is>
      </c>
      <c r="H11" s="12" t="inlineStr">
        <is>
          <t>T08
URB 009</t>
        </is>
      </c>
      <c r="J11" s="13" t="inlineStr">
        <is>
          <t>JAVI NIETO</t>
        </is>
      </c>
    </row>
    <row r="12" ht="34" customHeight="1">
      <c r="A12" s="9" t="inlineStr">
        <is>
          <t>CHUTADOS
(31-34-35-37)</t>
        </is>
      </c>
      <c r="B12" s="9" t="n"/>
      <c r="C12" s="10">
        <f>IF(B12="","",B12)</f>
        <v/>
      </c>
      <c r="D12" s="10">
        <f>IF(C12="","",C12)</f>
        <v/>
      </c>
      <c r="E12" s="10">
        <f>IF(D12="","",D12)</f>
        <v/>
      </c>
      <c r="F12" s="10">
        <f>IF(E12="","",E12)</f>
        <v/>
      </c>
      <c r="G12" s="11" t="inlineStr">
        <is>
          <t>60516</t>
        </is>
      </c>
      <c r="H12" s="12" t="inlineStr">
        <is>
          <t>T08 ML1
007</t>
        </is>
      </c>
      <c r="J12" s="13" t="inlineStr">
        <is>
          <t>JOSE A.</t>
        </is>
      </c>
    </row>
    <row r="13" ht="34" customHeight="1">
      <c r="A13" s="14" t="inlineStr">
        <is>
          <t>30-35-37 NX</t>
        </is>
      </c>
      <c r="B13" s="14" t="n"/>
      <c r="C13" s="15">
        <f>IF(B13="","",B13)</f>
        <v/>
      </c>
      <c r="D13" s="15">
        <f>IF(C13="","",C13)</f>
        <v/>
      </c>
      <c r="E13" s="15">
        <f>IF(D13="","",D13)</f>
        <v/>
      </c>
      <c r="F13" s="15">
        <f>IF(E13="","",E13)</f>
        <v/>
      </c>
      <c r="G13" s="11" t="inlineStr">
        <is>
          <t>Ergonómica 60941</t>
        </is>
      </c>
      <c r="H13" s="12" t="inlineStr">
        <is>
          <t>T08 CP
URBAN 012</t>
        </is>
      </c>
      <c r="J13" s="13" t="inlineStr">
        <is>
          <t>JOSE LUIS</t>
        </is>
      </c>
    </row>
    <row r="14" ht="34" customHeight="1">
      <c r="A14" s="9" t="inlineStr">
        <is>
          <t>37 NO</t>
        </is>
      </c>
      <c r="B14" s="9" t="n"/>
      <c r="C14" s="10">
        <f>IF(B14="","",B14)</f>
        <v/>
      </c>
      <c r="D14" s="10">
        <f>IF(C14="","",C14)</f>
        <v/>
      </c>
      <c r="E14" s="10">
        <f>IF(D14="","",D14)</f>
        <v/>
      </c>
      <c r="F14" s="10">
        <f>IF(E14="","",E14)</f>
        <v/>
      </c>
      <c r="G14" s="11" t="inlineStr">
        <is>
          <t>J-50195</t>
        </is>
      </c>
      <c r="H14" s="12" t="inlineStr">
        <is>
          <t>T08
URB 006</t>
        </is>
      </c>
      <c r="J14" s="13" t="inlineStr">
        <is>
          <t>MANUEL</t>
        </is>
      </c>
    </row>
    <row r="15" ht="34" customHeight="1">
      <c r="A15" s="14" t="inlineStr">
        <is>
          <t>31-34-38 NX
+ Cinturones 705B RAA</t>
        </is>
      </c>
      <c r="B15" s="14" t="n"/>
      <c r="C15" s="15">
        <f>IF(B15="","",B15)</f>
        <v/>
      </c>
      <c r="D15" s="15">
        <f>IF(C15="","",C15)</f>
        <v/>
      </c>
      <c r="E15" s="15">
        <f>IF(D15="","",D15)</f>
        <v/>
      </c>
      <c r="F15" s="15">
        <f>IF(E15="","",E15)</f>
        <v/>
      </c>
      <c r="G15" s="11" t="inlineStr">
        <is>
          <t>60339</t>
        </is>
      </c>
      <c r="H15" s="12" t="inlineStr">
        <is>
          <t>T08 ML1
008</t>
        </is>
      </c>
      <c r="J15" s="13" t="inlineStr">
        <is>
          <t>P. BAUTISTA</t>
        </is>
      </c>
    </row>
    <row r="16" ht="34" customHeight="1">
      <c r="A16" s="9" t="inlineStr">
        <is>
          <t>32 (35) - WN</t>
        </is>
      </c>
      <c r="B16" s="9" t="n"/>
      <c r="C16" s="10">
        <f>IF(B16="","",B16)</f>
        <v/>
      </c>
      <c r="D16" s="10">
        <f>IF(C16="","",C16)</f>
        <v/>
      </c>
      <c r="E16" s="10">
        <f>IF(D16="","",D16)</f>
        <v/>
      </c>
      <c r="F16" s="10">
        <f>IF(E16="","",E16)</f>
        <v/>
      </c>
      <c r="G16" s="11" t="inlineStr">
        <is>
          <t>STILL 00644</t>
        </is>
      </c>
      <c r="H16" s="12" t="inlineStr">
        <is>
          <t>T08 CP
URB 013</t>
        </is>
      </c>
      <c r="J16" s="13" t="inlineStr">
        <is>
          <t>PACO</t>
        </is>
      </c>
    </row>
    <row r="17" ht="34" customHeight="1">
      <c r="A17" s="14" t="inlineStr">
        <is>
          <t>39 (37) - WN</t>
        </is>
      </c>
      <c r="B17" s="14" t="n"/>
      <c r="C17" s="15">
        <f>IF(B17="","",B17)</f>
        <v/>
      </c>
      <c r="D17" s="15">
        <f>IF(C17="","",C17)</f>
        <v/>
      </c>
      <c r="E17" s="15">
        <f>IF(D17="","",D17)</f>
        <v/>
      </c>
      <c r="F17" s="15">
        <f>IF(E17="","",E17)</f>
        <v/>
      </c>
      <c r="G17" s="11" t="inlineStr">
        <is>
          <t>STILL 00645</t>
        </is>
      </c>
      <c r="H17" s="12" t="inlineStr">
        <is>
          <t>T08 CP
URB 002</t>
        </is>
      </c>
      <c r="J17" s="13" t="inlineStr">
        <is>
          <t>PICHIN</t>
        </is>
      </c>
    </row>
    <row r="18" ht="34" customHeight="1">
      <c r="A18" s="9" t="inlineStr">
        <is>
          <t>PORTAVOZ</t>
        </is>
      </c>
      <c r="B18" s="9" t="n"/>
      <c r="C18" s="10">
        <f>IF(B18="","",B18)</f>
        <v/>
      </c>
      <c r="D18" s="10">
        <f>IF(C18="","",C18)</f>
        <v/>
      </c>
      <c r="E18" s="10">
        <f>IF(D18="","",D18)</f>
        <v/>
      </c>
      <c r="F18" s="10">
        <f>IF(E18="","",E18)</f>
        <v/>
      </c>
      <c r="G18" s="11" t="inlineStr">
        <is>
          <t>60338</t>
        </is>
      </c>
      <c r="H18" s="12" t="inlineStr">
        <is>
          <t>T08 ML1
URBAN 005</t>
        </is>
      </c>
      <c r="J18" s="13" t="inlineStr">
        <is>
          <t>TABOADA</t>
        </is>
      </c>
    </row>
    <row r="19">
      <c r="J19" s="13" t="inlineStr">
        <is>
          <t>THAN</t>
        </is>
      </c>
    </row>
    <row r="20">
      <c r="J20" s="13" t="inlineStr">
        <is>
          <t>TONI</t>
        </is>
      </c>
    </row>
  </sheetData>
  <mergeCells count="1">
    <mergeCell ref="A1:D1"/>
  </mergeCells>
  <dataValidations count="3">
    <dataValidation sqref="B6:F18" showDropDown="0" showInputMessage="0" showErrorMessage="1" allowBlank="1" errorTitle="Nombre nuevo" error="Ese nombre no está en la lista de carretilleros. ¿Lo usas igualmente?" type="list" errorStyle="warning">
      <formula1>=$J$6:$J$60</formula1>
    </dataValidation>
    <dataValidation sqref="F1" showDropDown="0" showInputMessage="0" showErrorMessage="1" allowBlank="0" errorTitle="KW" error="La semana tiene que ser un número del 1 al 53." type="whole" operator="between">
      <formula1>1</formula1>
      <formula2>53</formula2>
    </dataValidation>
    <dataValidation sqref="H1" showDropDown="0" showInputMessage="0" showErrorMessage="0" allowBlank="0" type="whole" operator="between">
      <formula1>2024</formula1>
      <formula2>2100</formula2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2026-10-29T01:11:21Z</dcterms:created>
  <dcterms:modified xmlns:dcterms="http://purl.org/dc/terms/" xmlns:xsi="http://www.w3.org/2001/XMLSchema-instance" xsi:type="dcterms:W3CDTF">2026-10-29T01:11:21Z</dcterms:modified>
</cp:coreProperties>
</file>